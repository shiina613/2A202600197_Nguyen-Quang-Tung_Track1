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. Assumptions" sheetId="1" state="visible" r:id="rId3"/>
    <sheet name="2. Unit Economics" sheetId="2" state="visible" r:id="rId4"/>
    <sheet name="3. P&amp;L &amp; R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<sst xmlns="http://schemas.openxmlformats.org/spreadsheetml/2006/main" count="154" uniqueCount="138">
  <si>
    <t xml:space="preserve">Tab 1 — ASSUMPTIONS  /  Giả định đầu vào</t>
  </si>
  <si>
    <t xml:space="preserve">Luật chơi: chỉ điền vào các ô MÀU VÀNG. Các ô khác là công thức và sẽ tự tính.</t>
  </si>
  <si>
    <t xml:space="preserve">1. Product &amp; Pricing  /  Sản phẩm &amp; Giá</t>
  </si>
  <si>
    <t xml:space="preserve">Optimistic</t>
  </si>
  <si>
    <t xml:space="preserve">Base</t>
  </si>
  <si>
    <t xml:space="preserve">Pessimistic</t>
  </si>
  <si>
    <t xml:space="preserve">Đơn vị</t>
  </si>
  <si>
    <t xml:space="preserve">Ghi chú / Note</t>
  </si>
  <si>
    <t xml:space="preserve">ARPU — Giá bán bình quân/khách/tháng</t>
  </si>
  <si>
    <t xml:space="preserve">VND</t>
  </si>
  <si>
    <t xml:space="preserve">Pricing cao hơn → khó bán hơn nhưng margin tốt hơn</t>
  </si>
  <si>
    <t xml:space="preserve">Adoption rate — % TAM chuyển thành khách/tháng</t>
  </si>
  <si>
    <t xml:space="preserve">%/tháng</t>
  </si>
  <si>
    <t xml:space="preserve">% TAM chuyển thành khách trả tiền mới mỗi tháng</t>
  </si>
  <si>
    <t xml:space="preserve">Total addressable market (số khách tiềm năng)</t>
  </si>
  <si>
    <t xml:space="preserve">khách</t>
  </si>
  <si>
    <t xml:space="preserve">Tổng số khách hàng tiềm năng có thể tiếp cận được</t>
  </si>
  <si>
    <t xml:space="preserve">2. COGS  /  Chi phí biến đổi trên mỗi khách hàng</t>
  </si>
  <si>
    <t xml:space="preserve">API cost / khách / tháng</t>
  </si>
  <si>
    <t xml:space="preserve">Tiền gọi OpenAI/Anthropic/Gemini API</t>
  </si>
  <si>
    <t xml:space="preserve">Hidden costs (labeling, retraining, QA)</t>
  </si>
  <si>
    <t xml:space="preserve">Đừng quên! Đây là cục giết startup AI</t>
  </si>
  <si>
    <t xml:space="preserve">Không cần Lable, retraining, model hiện nay đã đủ tốt. QA sẽ do founder làm luôn để tối ưu chi phí. Hidden ≈30% API/tháng</t>
  </si>
  <si>
    <t xml:space="preserve">Infrastructure (server/cloud) / khách</t>
  </si>
  <si>
    <t xml:space="preserve">Phần allocate cloud cost cho mỗi khách</t>
  </si>
  <si>
    <t xml:space="preserve">→ Tổng COGS / khách / tháng</t>
  </si>
  <si>
    <t xml:space="preserve">3. Customer Behavior  /  Hành vi khách hàng</t>
  </si>
  <si>
    <t xml:space="preserve">Monthly Churn Rate — % khách rời mỗi tháng</t>
  </si>
  <si>
    <t xml:space="preserve">%</t>
  </si>
  <si>
    <t xml:space="preserve">Benchmark AI product &lt; 5%/tháng</t>
  </si>
  <si>
    <t xml:space="preserve">→ Số tháng ở lại trung bình</t>
  </si>
  <si>
    <t xml:space="preserve">4. Sales &amp; Marketing  /  Chi phí thu hút khách</t>
  </si>
  <si>
    <t xml:space="preserve">CAC — Tổng chi phí có 1 khách hàng mới</t>
  </si>
  <si>
    <t xml:space="preserve">Tổng tiền Marketing &amp; Sales / Số khách mới</t>
  </si>
  <si>
    <t xml:space="preserve">5. Fixed Costs  /  Chi phí cố định hàng tháng</t>
  </si>
  <si>
    <t xml:space="preserve">Salaries — Lương team (PM/Dev/Designer)</t>
  </si>
  <si>
    <t xml:space="preserve">VND/tháng</t>
  </si>
  <si>
    <t xml:space="preserve">Pessimistic = phải hire thêm nếu khó scale</t>
  </si>
  <si>
    <t xml:space="preserve">Office, tools, admin</t>
  </si>
  <si>
    <t xml:space="preserve">Marketing budget hàng tháng</t>
  </si>
  <si>
    <t xml:space="preserve">→ Tổng Fixed Cost / tháng</t>
  </si>
  <si>
    <t xml:space="preserve">6. Initial Investment  /  Vốn đầu tư ban đầu</t>
  </si>
  <si>
    <t xml:space="preserve">Vốn đầu tư ban đầu (build MVP, setup)</t>
  </si>
  <si>
    <t xml:space="preserve">Chi phí 1 lần — lương team build MVP, infrastructure setup</t>
  </si>
  <si>
    <t xml:space="preserve">Tiền mặt ban đầu (sau khi đã trừ vốn đầu tư)</t>
  </si>
  <si>
    <t xml:space="preserve">Số tiền có sẵn để chi trả fixed cost trong giai đoạn đầu</t>
  </si>
  <si>
    <t xml:space="preserve">7. Discount Rate  /  Tỷ suất chiết khấu (cho NPV)</t>
  </si>
  <si>
    <t xml:space="preserve">Annual discount rate (WACC)</t>
  </si>
  <si>
    <t xml:space="preserve">%/năm</t>
  </si>
  <si>
    <t xml:space="preserve">Mức kỳ vọng tối thiểu của nhà đầu tư cho dự án AI rủi ro</t>
  </si>
  <si>
    <t xml:space="preserve">→ Monthly discount rate</t>
  </si>
  <si>
    <t xml:space="preserve">8. Decision Note  /  Ghi chú quyết định</t>
  </si>
  <si>
    <t xml:space="preserve">ARPU Base 149k: wedge lớp 12 ôn TN, MRR theo user; nằm giữa Pro 139k và Max 179k (mix thực tế). CAC Base 48k: D2C social, founder+AI làm lõi; CAC = boost/tool/fee creator, không lương founder. COGS: trần map credit + infra + Hidden nhỏ; QA founder; tester/label ở fixed. TAM×adoption cần ramp năm 1 nếu không muốn lạc quan. Churn draft từ benchmark AI/B2C; sẽ cập nhật sau pilot retention.</t>
  </si>
  <si>
    <t xml:space="preserve">Tab 2 — UNIT ECONOMICS  /  Kinh tế đơn vị</t>
  </si>
  <si>
    <t xml:space="preserve">Tự động tính từ Tab 1. Kiểm tra: LTV/CAC &gt; 3 (Base) và CAC Payback &lt; 12 tháng.</t>
  </si>
  <si>
    <t xml:space="preserve">Chỉ số</t>
  </si>
  <si>
    <t xml:space="preserve">Benchmark / Note</t>
  </si>
  <si>
    <t xml:space="preserve">Trên mỗi khách hàng / per customer</t>
  </si>
  <si>
    <t xml:space="preserve">ARPU / tháng</t>
  </si>
  <si>
    <t xml:space="preserve">Liên kết từ Tab Assumptions</t>
  </si>
  <si>
    <t xml:space="preserve">COGS / tháng</t>
  </si>
  <si>
    <t xml:space="preserve">→ Gross Profit / tháng</t>
  </si>
  <si>
    <t xml:space="preserve">→ Gross Margin %</t>
  </si>
  <si>
    <t xml:space="preserve">AI product target: 40-60%. SaaS truyền thống: 80%+</t>
  </si>
  <si>
    <t xml:space="preserve">LTV — Customer Lifetime Value</t>
  </si>
  <si>
    <t xml:space="preserve">Số tháng ở lại trung bình</t>
  </si>
  <si>
    <t xml:space="preserve">tháng</t>
  </si>
  <si>
    <t xml:space="preserve">→ LTV = Gross Profit × Số tháng ở lại</t>
  </si>
  <si>
    <t xml:space="preserve">Tổng lợi nhuận gộp một khách mang lại trong vòng đời</t>
  </si>
  <si>
    <t xml:space="preserve">CAC — Customer Acquisition Cost</t>
  </si>
  <si>
    <t xml:space="preserve">CAC — Chi phí thu hút 1 khách</t>
  </si>
  <si>
    <t xml:space="preserve">Key Ratios  /  Tỷ lệ then chốt</t>
  </si>
  <si>
    <t xml:space="preserve">→ LTV / CAC Ratio</t>
  </si>
  <si>
    <t xml:space="preserve">🎯 Target &gt; 3.0x (tiêu chuẩn vàng VC)</t>
  </si>
  <si>
    <t xml:space="preserve">→ CAC Payback Period</t>
  </si>
  <si>
    <t xml:space="preserve">🎯 Target &lt; 12 tháng (early-stage)</t>
  </si>
  <si>
    <t xml:space="preserve">Verdict  /  Kết luận</t>
  </si>
  <si>
    <t xml:space="preserve">Unit Economics Status</t>
  </si>
  <si>
    <t xml:space="preserve">Tab 3 — P&amp;L &amp; ROI  /  24 tháng</t>
  </si>
  <si>
    <t xml:space="preserve">Chọn scenario:</t>
  </si>
  <si>
    <t xml:space="preserve">Đổi scenario tại đây để toàn bộ P&amp;L tự cập nhật</t>
  </si>
  <si>
    <t xml:space="preserve">Active scenario index:</t>
  </si>
  <si>
    <t xml:space="preserve">Selected scenario inputs ↓</t>
  </si>
  <si>
    <t xml:space="preserve">ARPU / khách / tháng</t>
  </si>
  <si>
    <t xml:space="preserve">Adoption rate</t>
  </si>
  <si>
    <t xml:space="preserve">TAM (số khách tiềm năng)</t>
  </si>
  <si>
    <t xml:space="preserve">Total COGS / khách</t>
  </si>
  <si>
    <t xml:space="preserve">Monthly Churn Rate</t>
  </si>
  <si>
    <t xml:space="preserve">CAC / khách mới</t>
  </si>
  <si>
    <t xml:space="preserve">Fixed Cost / tháng</t>
  </si>
  <si>
    <t xml:space="preserve">Initial Investment</t>
  </si>
  <si>
    <t xml:space="preserve">Initial Cash</t>
  </si>
  <si>
    <t xml:space="preserve">Monthly Discount Rate</t>
  </si>
  <si>
    <t xml:space="preserve">P&amp;L Projection — 24 months  (VND)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</si>
  <si>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</si>
  <si>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</si>
  <si>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</si>
  <si>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</si>
  <si>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</si>
  <si>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</si>
  <si>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</si>
  <si>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</si>
  <si>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</si>
  <si>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</si>
  <si>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</si>
  <si>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</si>
  <si>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</si>
  <si>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</si>
  <si>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</si>
  <si>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</si>
  <si>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</si>
  <si>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</si>
  <si>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</si>
  <si>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</si>
  <si>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</si>
  <si>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</si>
  <si>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</si>
  <si>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</si>
  <si>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</si>
  <si>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</t>
  </si>
  <si>
    <t xml:space="preserve">New customers acquired</t>
  </si>
  <si>
    <t xml:space="preserve">Active customers (end of month)</t>
  </si>
  <si>
    <t xml:space="preserve">Revenue</t>
  </si>
  <si>
    <t xml:space="preserve">COGS (variable cost)</t>
  </si>
  <si>
    <t xml:space="preserve">Gross Profit</t>
  </si>
  <si>
    <t xml:space="preserve">Marketing/Acquisition cost</t>
  </si>
  <si>
    <t xml:space="preserve">Fixed cost (salaries + ops)</t>
  </si>
  <si>
    <t xml:space="preserve">Operating Profit (EBITDA)</t>
  </si>
  <si>
    <t xml:space="preserve">Cash Flow (after investment)</t>
  </si>
  <si>
    <t xml:space="preserve">Cash Position (cumulative)</t>
  </si>
  <si>
    <t xml:space="preserve">ROI Metrics  /  Chỉ số đánh giá tổng thể dự án</t>
  </si>
  <si>
    <t xml:space="preserve">NPV (Net Present Value, mil VND)</t>
  </si>
  <si>
    <t xml:space="preserve">IRR (Annual)</t>
  </si>
  <si>
    <t xml:space="preserve">Project Payback (months)</t>
  </si>
  <si>
    <t xml:space="preserve">Runway (months until cash = 0)</t>
  </si>
  <si>
    <t xml:space="preserve">(helper: cumulative cash flow)</t>
  </si>
  <si>
    <t xml:space="preserve">Final Verdict  /  Có nên làm dự án này?</t>
  </si>
  <si>
    <t xml:space="preserve">Project Decision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</si>
</sst>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&quot; tháng&quot;"/>
    <numFmt numFmtId="168" formatCode="0.00\x"/>
    <numFmt numFmtId="169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00FF"/>
      <name val="Times New Roman"/>
      <family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i val="true"/>
      <sz val="9"/>
      <color rgb="FF0F346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DCFCE7"/>
        <bgColor rgb="FFCCFFCC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 style="medium">
        <color rgb="FF64748B"/>
      </top>
      <bottom/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9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A34A"/>
        <sz val="11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  <sz val="11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F3460"/>
      <rgbColor rgb="FF16A34A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21" activeCellId="0" sqref="G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40.55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4.25" hidden="false" customHeight="false" outlineLevel="0" collapsed="false">
      <c r="B5" s="4" t="s">
        <v>2</v>
      </c>
      <c r="C5" s="4"/>
      <c r="D5" s="4"/>
      <c r="E5" s="4"/>
      <c r="F5" s="4"/>
    </row>
    <row r="6" customFormat="false" ht="14.25" hidden="false" customHeight="false" outlineLevel="0" collapsed="false">
      <c r="C6" s="5" t="s">
        <v>3</v>
      </c>
      <c r="D6" s="6" t="s">
        <v>4</v>
      </c>
      <c r="E6" s="7" t="s">
        <v>5</v>
      </c>
      <c r="F6" s="8" t="s">
        <v>6</v>
      </c>
      <c r="G6" s="9" t="s">
        <v>7</v>
      </c>
    </row>
    <row r="7" customFormat="false" ht="14.25" hidden="false" customHeight="false" outlineLevel="0" collapsed="false">
      <c r="B7" s="10" t="s">
        <v>8</v>
      </c>
      <c r="C7" s="11" t="n">
        <v>165000</v>
      </c>
      <c r="D7" s="11" t="n">
        <v>149000</v>
      </c>
      <c r="E7" s="11" t="n">
        <v>139000</v>
      </c>
      <c r="F7" s="12" t="s">
        <v>9</v>
      </c>
      <c r="G7" s="13" t="s">
        <v>10</v>
      </c>
    </row>
    <row r="8" customFormat="false" ht="14.25" hidden="false" customHeight="false" outlineLevel="0" collapsed="false">
      <c r="B8" s="10" t="s">
        <v>11</v>
      </c>
      <c r="C8" s="14" t="n">
        <v>0.05</v>
      </c>
      <c r="D8" s="14" t="n">
        <v>0.025</v>
      </c>
      <c r="E8" s="14" t="n">
        <v>0.01</v>
      </c>
      <c r="F8" s="12" t="s">
        <v>12</v>
      </c>
      <c r="G8" s="13" t="s">
        <v>13</v>
      </c>
    </row>
    <row r="9" customFormat="false" ht="14.25" hidden="false" customHeight="false" outlineLevel="0" collapsed="false">
      <c r="B9" s="10" t="s">
        <v>14</v>
      </c>
      <c r="C9" s="11" t="n">
        <v>150000</v>
      </c>
      <c r="D9" s="11" t="n">
        <v>85000</v>
      </c>
      <c r="E9" s="11" t="n">
        <v>35000</v>
      </c>
      <c r="F9" s="12" t="s">
        <v>15</v>
      </c>
      <c r="G9" s="13" t="s">
        <v>16</v>
      </c>
      <c r="H9" s="15"/>
    </row>
    <row r="11" customFormat="false" ht="14.25" hidden="false" customHeight="false" outlineLevel="0" collapsed="false">
      <c r="B11" s="4" t="s">
        <v>17</v>
      </c>
      <c r="C11" s="4"/>
      <c r="D11" s="4"/>
      <c r="E11" s="4"/>
      <c r="F11" s="4"/>
    </row>
    <row r="12" customFormat="false" ht="14.25" hidden="false" customHeight="false" outlineLevel="0" collapsed="false">
      <c r="B12" s="10" t="s">
        <v>18</v>
      </c>
      <c r="C12" s="11" t="n">
        <v>20000</v>
      </c>
      <c r="D12" s="11" t="n">
        <v>25000</v>
      </c>
      <c r="E12" s="11" t="n">
        <v>40000</v>
      </c>
      <c r="F12" s="12" t="s">
        <v>9</v>
      </c>
      <c r="G12" s="13" t="s">
        <v>19</v>
      </c>
      <c r="H12" s="15"/>
    </row>
    <row r="13" customFormat="false" ht="14.25" hidden="false" customHeight="false" outlineLevel="0" collapsed="false">
      <c r="B13" s="10" t="s">
        <v>20</v>
      </c>
      <c r="C13" s="11" t="n">
        <v>6000</v>
      </c>
      <c r="D13" s="11" t="n">
        <v>7500</v>
      </c>
      <c r="E13" s="11" t="n">
        <v>12000</v>
      </c>
      <c r="F13" s="12" t="s">
        <v>9</v>
      </c>
      <c r="G13" s="13" t="s">
        <v>21</v>
      </c>
      <c r="H13" s="15" t="s">
        <v>22</v>
      </c>
    </row>
    <row r="14" customFormat="false" ht="14.25" hidden="false" customHeight="false" outlineLevel="0" collapsed="false">
      <c r="B14" s="10" t="s">
        <v>23</v>
      </c>
      <c r="C14" s="11" t="n">
        <v>5000</v>
      </c>
      <c r="D14" s="11" t="n">
        <v>10000</v>
      </c>
      <c r="E14" s="11" t="n">
        <v>18000</v>
      </c>
      <c r="F14" s="12" t="s">
        <v>9</v>
      </c>
      <c r="G14" s="13" t="s">
        <v>24</v>
      </c>
    </row>
    <row r="15" customFormat="false" ht="14.25" hidden="false" customHeight="false" outlineLevel="0" collapsed="false">
      <c r="B15" s="16" t="s">
        <v>25</v>
      </c>
      <c r="C15" s="17" t="n">
        <f aca="false">C12+C13+C14</f>
        <v>31000</v>
      </c>
      <c r="D15" s="17" t="n">
        <f aca="false">D12+D13+D14</f>
        <v>42500</v>
      </c>
      <c r="E15" s="17" t="n">
        <f aca="false">E12+E13+E14</f>
        <v>70000</v>
      </c>
      <c r="F15" s="18"/>
    </row>
    <row r="17" customFormat="false" ht="14.25" hidden="false" customHeight="false" outlineLevel="0" collapsed="false">
      <c r="B17" s="4" t="s">
        <v>26</v>
      </c>
      <c r="C17" s="4"/>
      <c r="D17" s="4"/>
      <c r="E17" s="4"/>
      <c r="F17" s="4"/>
    </row>
    <row r="18" customFormat="false" ht="14.25" hidden="false" customHeight="false" outlineLevel="0" collapsed="false">
      <c r="B18" s="10" t="s">
        <v>27</v>
      </c>
      <c r="C18" s="14" t="n">
        <v>0.03</v>
      </c>
      <c r="D18" s="14" t="n">
        <v>0.05</v>
      </c>
      <c r="E18" s="14" t="n">
        <v>0.08</v>
      </c>
      <c r="F18" s="12" t="s">
        <v>28</v>
      </c>
      <c r="G18" s="13" t="s">
        <v>29</v>
      </c>
    </row>
    <row r="19" customFormat="false" ht="14.25" hidden="false" customHeight="false" outlineLevel="0" collapsed="false">
      <c r="B19" s="19" t="s">
        <v>30</v>
      </c>
      <c r="C19" s="20" t="n">
        <f aca="false">IFERROR(1/C18,0)</f>
        <v>33.3333333333333</v>
      </c>
      <c r="D19" s="20" t="n">
        <f aca="false">IFERROR(1/D18,0)</f>
        <v>20</v>
      </c>
      <c r="E19" s="20" t="n">
        <f aca="false">IFERROR(1/E18,0)</f>
        <v>12.5</v>
      </c>
      <c r="F19" s="21"/>
    </row>
    <row r="21" customFormat="false" ht="14.25" hidden="false" customHeight="false" outlineLevel="0" collapsed="false">
      <c r="B21" s="4" t="s">
        <v>31</v>
      </c>
      <c r="C21" s="4"/>
      <c r="D21" s="4"/>
      <c r="E21" s="4"/>
      <c r="F21" s="4"/>
    </row>
    <row r="22" customFormat="false" ht="14.25" hidden="false" customHeight="false" outlineLevel="0" collapsed="false">
      <c r="B22" s="10" t="s">
        <v>32</v>
      </c>
      <c r="C22" s="11" t="n">
        <v>18000</v>
      </c>
      <c r="D22" s="11" t="n">
        <v>48000</v>
      </c>
      <c r="E22" s="11" t="n">
        <v>220000</v>
      </c>
      <c r="F22" s="12" t="s">
        <v>9</v>
      </c>
      <c r="G22" s="13" t="s">
        <v>33</v>
      </c>
    </row>
    <row r="24" customFormat="false" ht="14.25" hidden="false" customHeight="false" outlineLevel="0" collapsed="false">
      <c r="B24" s="4" t="s">
        <v>34</v>
      </c>
      <c r="C24" s="4"/>
      <c r="D24" s="4"/>
      <c r="E24" s="4"/>
      <c r="F24" s="4"/>
    </row>
    <row r="25" customFormat="false" ht="14.25" hidden="false" customHeight="false" outlineLevel="0" collapsed="false">
      <c r="B25" s="10" t="s">
        <v>35</v>
      </c>
      <c r="C25" s="11" t="n">
        <v>5000000</v>
      </c>
      <c r="D25" s="11" t="n">
        <v>12000000</v>
      </c>
      <c r="E25" s="11" t="n">
        <v>28000000</v>
      </c>
      <c r="F25" s="12" t="s">
        <v>36</v>
      </c>
      <c r="G25" s="13" t="s">
        <v>37</v>
      </c>
    </row>
    <row r="26" customFormat="false" ht="14.25" hidden="false" customHeight="false" outlineLevel="0" collapsed="false">
      <c r="B26" s="10" t="s">
        <v>38</v>
      </c>
      <c r="C26" s="11" t="n">
        <v>3000000</v>
      </c>
      <c r="D26" s="11" t="n">
        <v>5000000</v>
      </c>
      <c r="E26" s="11" t="n">
        <v>11000000</v>
      </c>
      <c r="F26" s="12" t="s">
        <v>36</v>
      </c>
    </row>
    <row r="27" customFormat="false" ht="14.25" hidden="false" customHeight="false" outlineLevel="0" collapsed="false">
      <c r="B27" s="10" t="s">
        <v>39</v>
      </c>
      <c r="C27" s="11" t="n">
        <v>5000000</v>
      </c>
      <c r="D27" s="11" t="n">
        <v>14000000</v>
      </c>
      <c r="E27" s="11" t="n">
        <v>32000000</v>
      </c>
      <c r="F27" s="12" t="s">
        <v>36</v>
      </c>
    </row>
    <row r="28" customFormat="false" ht="14.25" hidden="false" customHeight="false" outlineLevel="0" collapsed="false">
      <c r="B28" s="19" t="s">
        <v>40</v>
      </c>
      <c r="C28" s="22" t="n">
        <f aca="false">SUM(C25:C27)</f>
        <v>13000000</v>
      </c>
      <c r="D28" s="22" t="n">
        <f aca="false">SUM(D25:D27)</f>
        <v>31000000</v>
      </c>
      <c r="E28" s="22" t="n">
        <f aca="false">SUM(E25:E27)</f>
        <v>71000000</v>
      </c>
      <c r="F28" s="21"/>
    </row>
    <row r="30" customFormat="false" ht="14.25" hidden="false" customHeight="false" outlineLevel="0" collapsed="false">
      <c r="B30" s="4" t="s">
        <v>41</v>
      </c>
      <c r="C30" s="4"/>
      <c r="D30" s="4"/>
      <c r="E30" s="4"/>
      <c r="F30" s="4"/>
    </row>
    <row r="31" customFormat="false" ht="14.25" hidden="false" customHeight="false" outlineLevel="0" collapsed="false">
      <c r="B31" s="10" t="s">
        <v>42</v>
      </c>
      <c r="C31" s="11" t="n">
        <v>10000000</v>
      </c>
      <c r="D31" s="11" t="n">
        <v>20000000</v>
      </c>
      <c r="E31" s="11" t="n">
        <v>30000000</v>
      </c>
      <c r="F31" s="12" t="s">
        <v>9</v>
      </c>
      <c r="G31" s="13" t="s">
        <v>43</v>
      </c>
    </row>
    <row r="32" customFormat="false" ht="14.25" hidden="false" customHeight="false" outlineLevel="0" collapsed="false">
      <c r="B32" s="10" t="s">
        <v>44</v>
      </c>
      <c r="C32" s="11" t="n">
        <v>150000000</v>
      </c>
      <c r="D32" s="11" t="n">
        <v>350000000</v>
      </c>
      <c r="E32" s="11" t="n">
        <v>450000000</v>
      </c>
      <c r="F32" s="12" t="s">
        <v>9</v>
      </c>
      <c r="G32" s="13" t="s">
        <v>45</v>
      </c>
    </row>
    <row r="34" customFormat="false" ht="14.25" hidden="false" customHeight="false" outlineLevel="0" collapsed="false">
      <c r="B34" s="4" t="s">
        <v>46</v>
      </c>
      <c r="C34" s="4"/>
      <c r="D34" s="4"/>
      <c r="E34" s="4"/>
      <c r="F34" s="4"/>
    </row>
    <row r="35" customFormat="false" ht="14.25" hidden="false" customHeight="false" outlineLevel="0" collapsed="false">
      <c r="B35" s="10" t="s">
        <v>47</v>
      </c>
      <c r="C35" s="14" t="n">
        <v>0.2</v>
      </c>
      <c r="D35" s="14" t="n">
        <v>0.2</v>
      </c>
      <c r="E35" s="14" t="n">
        <v>0.2</v>
      </c>
      <c r="F35" s="12" t="s">
        <v>48</v>
      </c>
      <c r="G35" s="13" t="s">
        <v>49</v>
      </c>
    </row>
    <row r="36" customFormat="false" ht="14.25" hidden="false" customHeight="false" outlineLevel="0" collapsed="false">
      <c r="B36" s="19" t="s">
        <v>50</v>
      </c>
      <c r="C36" s="23" t="n">
        <f aca="false">(1+C35)^(1/12)-1</f>
        <v>0.0153094704997312</v>
      </c>
      <c r="D36" s="23" t="n">
        <f aca="false">(1+D35)^(1/12)-1</f>
        <v>0.0153094704997312</v>
      </c>
      <c r="E36" s="23" t="n">
        <f aca="false">(1+E35)^(1/12)-1</f>
        <v>0.0153094704997312</v>
      </c>
      <c r="F36" s="21"/>
    </row>
    <row r="38" customFormat="false" ht="14.25" hidden="false" customHeight="false" outlineLevel="0" collapsed="false">
      <c r="B38" s="4" t="s">
        <v>51</v>
      </c>
      <c r="C38" s="4"/>
      <c r="D38" s="4"/>
      <c r="E38" s="4"/>
      <c r="F38" s="4"/>
    </row>
    <row r="39" customFormat="false" ht="24.75" hidden="false" customHeight="true" outlineLevel="0" collapsed="false">
      <c r="B39" s="24" t="s">
        <v>52</v>
      </c>
      <c r="C39" s="24"/>
      <c r="D39" s="24"/>
      <c r="E39" s="24"/>
      <c r="F39" s="24"/>
    </row>
    <row r="40" customFormat="false" ht="24.75" hidden="false" customHeight="true" outlineLevel="0" collapsed="false">
      <c r="B40" s="24"/>
      <c r="C40" s="24"/>
      <c r="D40" s="24"/>
      <c r="E40" s="24"/>
      <c r="F40" s="24"/>
    </row>
    <row r="41" customFormat="false" ht="24.75" hidden="false" customHeight="true" outlineLevel="0" collapsed="false">
      <c r="B41" s="24"/>
      <c r="C41" s="24"/>
      <c r="D41" s="24"/>
      <c r="E41" s="24"/>
      <c r="F41" s="24"/>
    </row>
  </sheetData>
  <mergeCells count="11">
    <mergeCell ref="B2:F2"/>
    <mergeCell ref="B3:G3"/>
    <mergeCell ref="B5:F5"/>
    <mergeCell ref="B11:F11"/>
    <mergeCell ref="B17:F17"/>
    <mergeCell ref="B21:F21"/>
    <mergeCell ref="B24:F24"/>
    <mergeCell ref="B30:F30"/>
    <mergeCell ref="B34:F34"/>
    <mergeCell ref="B38:F38"/>
    <mergeCell ref="B39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50"/>
  </cols>
  <sheetData>
    <row r="2" customFormat="false" ht="30" hidden="false" customHeight="true" outlineLevel="0" collapsed="false">
      <c r="B2" s="2" t="s">
        <v>53</v>
      </c>
      <c r="C2" s="2"/>
      <c r="D2" s="2"/>
      <c r="E2" s="2"/>
      <c r="F2" s="2"/>
    </row>
    <row r="3" customFormat="false" ht="19.5" hidden="false" customHeight="true" outlineLevel="0" collapsed="false">
      <c r="B3" s="3" t="s">
        <v>54</v>
      </c>
      <c r="C3" s="3"/>
      <c r="D3" s="3"/>
      <c r="E3" s="3"/>
      <c r="F3" s="3"/>
      <c r="G3" s="3"/>
    </row>
    <row r="5" customFormat="false" ht="14.25" hidden="false" customHeight="false" outlineLevel="0" collapsed="false">
      <c r="B5" s="9" t="s">
        <v>55</v>
      </c>
      <c r="C5" s="5" t="s">
        <v>3</v>
      </c>
      <c r="D5" s="6" t="s">
        <v>4</v>
      </c>
      <c r="E5" s="7" t="s">
        <v>5</v>
      </c>
      <c r="F5" s="8" t="s">
        <v>6</v>
      </c>
      <c r="G5" s="9" t="s">
        <v>56</v>
      </c>
    </row>
    <row r="7" customFormat="false" ht="14.25" hidden="false" customHeight="false" outlineLevel="0" collapsed="false">
      <c r="B7" s="4" t="s">
        <v>57</v>
      </c>
      <c r="C7" s="4"/>
      <c r="D7" s="4"/>
      <c r="E7" s="4"/>
      <c r="F7" s="4"/>
    </row>
    <row r="8" customFormat="false" ht="14.25" hidden="false" customHeight="false" outlineLevel="0" collapsed="false">
      <c r="B8" s="10" t="s">
        <v>58</v>
      </c>
      <c r="C8" s="25" t="n">
        <f aca="false">'1. Assumptions'!C7</f>
        <v>165000</v>
      </c>
      <c r="D8" s="25" t="n">
        <f aca="false">'1. Assumptions'!D7</f>
        <v>149000</v>
      </c>
      <c r="E8" s="25" t="n">
        <f aca="false">'1. Assumptions'!E7</f>
        <v>139000</v>
      </c>
      <c r="F8" s="12" t="s">
        <v>9</v>
      </c>
      <c r="G8" s="13" t="s">
        <v>59</v>
      </c>
    </row>
    <row r="9" customFormat="false" ht="14.25" hidden="false" customHeight="false" outlineLevel="0" collapsed="false">
      <c r="B9" s="10" t="s">
        <v>60</v>
      </c>
      <c r="C9" s="25" t="n">
        <f aca="false">'1. Assumptions'!C15</f>
        <v>31000</v>
      </c>
      <c r="D9" s="25" t="n">
        <f aca="false">'1. Assumptions'!D15</f>
        <v>42500</v>
      </c>
      <c r="E9" s="25" t="n">
        <f aca="false">'1. Assumptions'!E15</f>
        <v>70000</v>
      </c>
      <c r="F9" s="12" t="s">
        <v>9</v>
      </c>
    </row>
    <row r="10" customFormat="false" ht="14.25" hidden="false" customHeight="false" outlineLevel="0" collapsed="false">
      <c r="B10" s="19" t="s">
        <v>61</v>
      </c>
      <c r="C10" s="22" t="n">
        <f aca="false">C8-C9</f>
        <v>134000</v>
      </c>
      <c r="D10" s="22" t="n">
        <f aca="false">D8-D9</f>
        <v>106500</v>
      </c>
      <c r="E10" s="22" t="n">
        <f aca="false">E8-E9</f>
        <v>69000</v>
      </c>
      <c r="F10" s="21"/>
    </row>
    <row r="11" customFormat="false" ht="14.25" hidden="false" customHeight="false" outlineLevel="0" collapsed="false">
      <c r="B11" s="19" t="s">
        <v>62</v>
      </c>
      <c r="C11" s="23" t="n">
        <f aca="false">IFERROR(C10/C8,0)</f>
        <v>0.812121212121212</v>
      </c>
      <c r="D11" s="23" t="n">
        <f aca="false">IFERROR(D10/D8,0)</f>
        <v>0.714765100671141</v>
      </c>
      <c r="E11" s="23" t="n">
        <f aca="false">IFERROR(E10/E8,0)</f>
        <v>0.496402877697842</v>
      </c>
      <c r="F11" s="21"/>
      <c r="G11" s="13" t="s">
        <v>63</v>
      </c>
    </row>
    <row r="13" customFormat="false" ht="14.25" hidden="false" customHeight="false" outlineLevel="0" collapsed="false">
      <c r="B13" s="4" t="s">
        <v>64</v>
      </c>
      <c r="C13" s="4"/>
      <c r="D13" s="4"/>
      <c r="E13" s="4"/>
      <c r="F13" s="4"/>
    </row>
    <row r="14" customFormat="false" ht="14.25" hidden="false" customHeight="false" outlineLevel="0" collapsed="false">
      <c r="B14" s="10" t="s">
        <v>65</v>
      </c>
      <c r="C14" s="26" t="n">
        <f aca="false">'1. Assumptions'!C19</f>
        <v>33.3333333333333</v>
      </c>
      <c r="D14" s="26" t="n">
        <f aca="false">'1. Assumptions'!D19</f>
        <v>20</v>
      </c>
      <c r="E14" s="26" t="n">
        <f aca="false">'1. Assumptions'!E19</f>
        <v>12.5</v>
      </c>
      <c r="F14" s="12" t="s">
        <v>66</v>
      </c>
    </row>
    <row r="15" customFormat="false" ht="14.25" hidden="false" customHeight="false" outlineLevel="0" collapsed="false">
      <c r="B15" s="19" t="s">
        <v>67</v>
      </c>
      <c r="C15" s="22" t="n">
        <f aca="false">C10*C14</f>
        <v>4466666.66666666</v>
      </c>
      <c r="D15" s="22" t="n">
        <f aca="false">D10*D14</f>
        <v>2130000</v>
      </c>
      <c r="E15" s="22" t="n">
        <f aca="false">E10*E14</f>
        <v>862500</v>
      </c>
      <c r="F15" s="21"/>
      <c r="G15" s="13" t="s">
        <v>68</v>
      </c>
    </row>
    <row r="17" customFormat="false" ht="14.25" hidden="false" customHeight="false" outlineLevel="0" collapsed="false">
      <c r="B17" s="4" t="s">
        <v>69</v>
      </c>
      <c r="C17" s="4"/>
      <c r="D17" s="4"/>
      <c r="E17" s="4"/>
      <c r="F17" s="4"/>
    </row>
    <row r="18" customFormat="false" ht="14.25" hidden="false" customHeight="false" outlineLevel="0" collapsed="false">
      <c r="B18" s="10" t="s">
        <v>70</v>
      </c>
      <c r="C18" s="25" t="n">
        <f aca="false">'1. Assumptions'!C22</f>
        <v>18000</v>
      </c>
      <c r="D18" s="25" t="n">
        <f aca="false">'1. Assumptions'!D22</f>
        <v>48000</v>
      </c>
      <c r="E18" s="25" t="n">
        <f aca="false">'1. Assumptions'!E22</f>
        <v>220000</v>
      </c>
      <c r="F18" s="12" t="s">
        <v>9</v>
      </c>
    </row>
    <row r="20" customFormat="false" ht="14.25" hidden="false" customHeight="false" outlineLevel="0" collapsed="false">
      <c r="B20" s="4" t="s">
        <v>71</v>
      </c>
      <c r="C20" s="4"/>
      <c r="D20" s="4"/>
      <c r="E20" s="4"/>
      <c r="F20" s="4"/>
    </row>
    <row r="21" customFormat="false" ht="14.25" hidden="false" customHeight="false" outlineLevel="0" collapsed="false">
      <c r="B21" s="19" t="s">
        <v>72</v>
      </c>
      <c r="C21" s="27" t="n">
        <f aca="false">IFERROR(C15/C18,0)</f>
        <v>248.148148148148</v>
      </c>
      <c r="D21" s="27" t="n">
        <f aca="false">IFERROR(D15/D18,0)</f>
        <v>44.375</v>
      </c>
      <c r="E21" s="27" t="n">
        <f aca="false">IFERROR(E15/E18,0)</f>
        <v>3.92045454545455</v>
      </c>
      <c r="F21" s="21"/>
      <c r="G21" s="13" t="s">
        <v>73</v>
      </c>
    </row>
    <row r="22" customFormat="false" ht="14.25" hidden="false" customHeight="false" outlineLevel="0" collapsed="false">
      <c r="B22" s="19" t="s">
        <v>74</v>
      </c>
      <c r="C22" s="20" t="n">
        <f aca="false">IFERROR(C18/C10,0)</f>
        <v>0.134328358208955</v>
      </c>
      <c r="D22" s="20" t="n">
        <f aca="false">IFERROR(D18/D10,0)</f>
        <v>0.450704225352113</v>
      </c>
      <c r="E22" s="20" t="n">
        <f aca="false">IFERROR(E18/E10,0)</f>
        <v>3.18840579710145</v>
      </c>
      <c r="F22" s="21"/>
      <c r="G22" s="13" t="s">
        <v>75</v>
      </c>
    </row>
    <row r="24" customFormat="false" ht="14.25" hidden="false" customHeight="false" outlineLevel="0" collapsed="false">
      <c r="B24" s="4" t="s">
        <v>76</v>
      </c>
      <c r="C24" s="4"/>
      <c r="D24" s="4"/>
      <c r="E24" s="4"/>
      <c r="F24" s="4"/>
    </row>
    <row r="25" customFormat="false" ht="14.25" hidden="false" customHeight="false" outlineLevel="0" collapsed="false">
      <c r="B25" s="9" t="s">
        <v>77</v>
      </c>
      <c r="C25" s="28" t="str">
        <f aca="false">IF(AND(C21&gt;=3,C22&lt;=12),"✓ HEALTHY",IF(OR(C21&lt;1,C22&gt;18),"✗ UNHEALTHY","⚠ WATCH"))</f>
        <v>✓ HEALTHY</v>
      </c>
      <c r="D25" s="28" t="str">
        <f aca="false">IF(AND(D21&gt;=3,D22&lt;=12),"✓ HEALTHY",IF(OR(D21&lt;1,D22&gt;18),"✗ UNHEALTHY","⚠ WATCH"))</f>
        <v>✓ HEALTHY</v>
      </c>
      <c r="E25" s="28" t="str">
        <f aca="false">IF(AND(E21&gt;=3,E22&lt;=12),"✓ HEALTHY",IF(OR(E21&lt;1,E22&gt;18),"✗ UNHEALTHY","⚠ WATCH"))</f>
        <v>✓ HEALTHY</v>
      </c>
    </row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:E21">
    <cfRule type="cellIs" priority="2" operator="less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1</formula>
      <formula>3</formula>
    </cfRule>
    <cfRule type="cellIs" priority="4" operator="greaterThanOrEqual" aboveAverage="0" equalAverage="0" bottom="0" percent="0" rank="0" text="" dxfId="2">
      <formula>3</formula>
    </cfRule>
  </conditionalFormatting>
  <conditionalFormatting sqref="C22:E22">
    <cfRule type="cellIs" priority="5" operator="greaterThan" aboveAverage="0" equalAverage="0" bottom="0" percent="0" rank="0" text="" dxfId="3">
      <formula>18</formula>
    </cfRule>
    <cfRule type="cellIs" priority="6" operator="between" aboveAverage="0" equalAverage="0" bottom="0" percent="0" rank="0" text="" dxfId="4">
      <formula>12</formula>
      <formula>18</formula>
    </cfRule>
    <cfRule type="cellIs" priority="7" operator="lessThanOrEqual" aboveAverage="0" equalAverage="0" bottom="0" percent="0" rank="0" text="" dxfId="5">
      <formula>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1" topLeftCell="C34" activePane="bottomRight" state="frozen"/>
      <selection pane="topLeft" activeCell="A1" activeCellId="0" sqref="A1"/>
      <selection pane="topRight" activeCell="C1" activeCellId="0" sqref="C1"/>
      <selection pane="bottomLeft" activeCell="A34" activeCellId="0" sqref="A34"/>
      <selection pane="bottomRight" activeCell="C4" activeCellId="0" sqref="C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26" min="3" style="1" width="13"/>
    <col collapsed="false" customWidth="true" hidden="false" outlineLevel="0" max="27" min="27" style="1" width="16"/>
  </cols>
  <sheetData>
    <row r="2" customFormat="false" ht="30" hidden="false" customHeight="true" outlineLevel="0" collapsed="false">
      <c r="B2" s="2" t="s">
        <v>78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29" t="s">
        <v>79</v>
      </c>
      <c r="C4" s="30" t="s">
        <v>5</v>
      </c>
      <c r="D4" s="3" t="s">
        <v>80</v>
      </c>
      <c r="E4" s="3"/>
      <c r="F4" s="3"/>
      <c r="G4" s="3"/>
      <c r="H4" s="3"/>
    </row>
    <row r="6" customFormat="false" ht="14.25" hidden="false" customHeight="false" outlineLevel="0" collapsed="false">
      <c r="B6" s="31" t="s">
        <v>81</v>
      </c>
      <c r="C6" s="31" t="n">
        <f aca="false">MATCH(C4,{"Optimistic","Base","Pessimistic"},0)</f>
        <v>3</v>
      </c>
    </row>
    <row r="7" customFormat="false" ht="14.25" hidden="false" customHeight="false" outlineLevel="0" collapsed="false">
      <c r="B7" s="32" t="s">
        <v>82</v>
      </c>
    </row>
    <row r="8" customFormat="false" ht="14.25" hidden="false" customHeight="false" outlineLevel="0" collapsed="false">
      <c r="B8" s="33" t="s">
        <v>83</v>
      </c>
      <c r="C8" s="34" t="n">
        <f aca="false">CHOOSE($C$6,'1. Assumptions'!C7,'1. Assumptions'!D7,'1. Assumptions'!E7)</f>
        <v>139000</v>
      </c>
    </row>
    <row r="9" customFormat="false" ht="14.25" hidden="false" customHeight="false" outlineLevel="0" collapsed="false">
      <c r="B9" s="33" t="s">
        <v>84</v>
      </c>
      <c r="C9" s="35" t="n">
        <f aca="false">CHOOSE($C$6,'1. Assumptions'!C8,'1. Assumptions'!D8,'1. Assumptions'!E8)</f>
        <v>0.01</v>
      </c>
    </row>
    <row r="10" customFormat="false" ht="14.25" hidden="false" customHeight="false" outlineLevel="0" collapsed="false">
      <c r="B10" s="33" t="s">
        <v>85</v>
      </c>
      <c r="C10" s="34" t="n">
        <f aca="false">CHOOSE($C$6,'1. Assumptions'!C9,'1. Assumptions'!D9,'1. Assumptions'!E9)</f>
        <v>35000</v>
      </c>
    </row>
    <row r="11" customFormat="false" ht="14.25" hidden="false" customHeight="false" outlineLevel="0" collapsed="false">
      <c r="B11" s="33" t="s">
        <v>86</v>
      </c>
      <c r="C11" s="34" t="n">
        <f aca="false">CHOOSE($C$6,'1. Assumptions'!C15,'1. Assumptions'!D15,'1. Assumptions'!E15)</f>
        <v>70000</v>
      </c>
    </row>
    <row r="12" customFormat="false" ht="14.25" hidden="false" customHeight="false" outlineLevel="0" collapsed="false">
      <c r="B12" s="33" t="s">
        <v>87</v>
      </c>
      <c r="C12" s="35" t="n">
        <f aca="false">CHOOSE($C$6,'1. Assumptions'!C18,'1. Assumptions'!D18,'1. Assumptions'!E18)</f>
        <v>0.08</v>
      </c>
    </row>
    <row r="13" customFormat="false" ht="14.25" hidden="false" customHeight="false" outlineLevel="0" collapsed="false">
      <c r="B13" s="33" t="s">
        <v>88</v>
      </c>
      <c r="C13" s="34" t="n">
        <f aca="false">CHOOSE($C$6,'1. Assumptions'!C22,'1. Assumptions'!D22,'1. Assumptions'!E22)</f>
        <v>220000</v>
      </c>
    </row>
    <row r="14" customFormat="false" ht="14.25" hidden="false" customHeight="false" outlineLevel="0" collapsed="false">
      <c r="B14" s="33" t="s">
        <v>89</v>
      </c>
      <c r="C14" s="34" t="n">
        <f aca="false">CHOOSE($C$6,'1. Assumptions'!C28,'1. Assumptions'!D28,'1. Assumptions'!E28)</f>
        <v>71000000</v>
      </c>
    </row>
    <row r="15" customFormat="false" ht="14.25" hidden="false" customHeight="false" outlineLevel="0" collapsed="false">
      <c r="B15" s="33" t="s">
        <v>90</v>
      </c>
      <c r="C15" s="34" t="n">
        <f aca="false">CHOOSE($C$6,'1. Assumptions'!C31,'1. Assumptions'!D31,'1. Assumptions'!E31)</f>
        <v>30000000</v>
      </c>
    </row>
    <row r="16" customFormat="false" ht="14.25" hidden="false" customHeight="false" outlineLevel="0" collapsed="false">
      <c r="B16" s="33" t="s">
        <v>91</v>
      </c>
      <c r="C16" s="34" t="n">
        <f aca="false">CHOOSE($C$6,'1. Assumptions'!C32,'1. Assumptions'!D32,'1. Assumptions'!E32)</f>
        <v>450000000</v>
      </c>
    </row>
    <row r="17" customFormat="false" ht="14.25" hidden="false" customHeight="false" outlineLevel="0" collapsed="false">
      <c r="B17" s="33" t="s">
        <v>92</v>
      </c>
      <c r="C17" s="35" t="n">
        <f aca="false">CHOOSE($C$6,'1. Assumptions'!C36,'1. Assumptions'!D36,'1. Assumptions'!E36)</f>
        <v>0.0153094704997312</v>
      </c>
    </row>
    <row r="20" customFormat="false" ht="14.25" hidden="false" customHeight="false" outlineLevel="0" collapsed="false">
      <c r="B20" s="4" t="s">
        <v>93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customFormat="false" ht="14.25" hidden="false" customHeight="false" outlineLevel="0" collapsed="false">
      <c r="B21" s="36" t="s">
        <v>94</v>
      </c>
      <c r="C21" s="37" t="s">
        <v>95</v>
      </c>
      <c r="D21" s="37" t="s">
        <v>96</v>
      </c>
      <c r="E21" s="37" t="s">
        <v>97</v>
      </c>
      <c r="F21" s="37" t="s">
        <v>98</v>
      </c>
      <c r="G21" s="37" t="s">
        <v>99</v>
      </c>
      <c r="H21" s="37" t="s">
        <v>100</v>
      </c>
      <c r="I21" s="37" t="s">
        <v>101</v>
      </c>
      <c r="J21" s="37" t="s">
        <v>102</v>
      </c>
      <c r="K21" s="37" t="s">
        <v>103</v>
      </c>
      <c r="L21" s="37" t="s">
        <v>104</v>
      </c>
      <c r="M21" s="37" t="s">
        <v>105</v>
      </c>
      <c r="N21" s="37" t="s">
        <v>106</v>
      </c>
      <c r="O21" s="37" t="s">
        <v>107</v>
      </c>
      <c r="P21" s="37" t="s">
        <v>108</v>
      </c>
      <c r="Q21" s="37" t="s">
        <v>109</v>
      </c>
      <c r="R21" s="37" t="s">
        <v>110</v>
      </c>
      <c r="S21" s="37" t="s">
        <v>111</v>
      </c>
      <c r="T21" s="37" t="s">
        <v>112</v>
      </c>
      <c r="U21" s="37" t="s">
        <v>113</v>
      </c>
      <c r="V21" s="37" t="s">
        <v>114</v>
      </c>
      <c r="W21" s="37" t="s">
        <v>115</v>
      </c>
      <c r="X21" s="37" t="s">
        <v>116</v>
      </c>
      <c r="Y21" s="37" t="s">
        <v>117</v>
      </c>
      <c r="Z21" s="37" t="s">
        <v>118</v>
      </c>
      <c r="AA21" s="38" t="s">
        <v>119</v>
      </c>
    </row>
    <row r="22" customFormat="false" ht="14.25" hidden="false" customHeight="false" outlineLevel="0" collapsed="false">
      <c r="B22" s="10" t="s">
        <v>120</v>
      </c>
      <c r="C22" s="39" t="n">
        <f aca="false">ROUND($C$10*$C$9,0)</f>
        <v>350</v>
      </c>
      <c r="D22" s="39" t="n">
        <f aca="false">ROUND($C$10*$C$9,0)</f>
        <v>350</v>
      </c>
      <c r="E22" s="39" t="n">
        <f aca="false">ROUND($C$10*$C$9,0)</f>
        <v>350</v>
      </c>
      <c r="F22" s="39" t="n">
        <f aca="false">ROUND($C$10*$C$9,0)</f>
        <v>350</v>
      </c>
      <c r="G22" s="39" t="n">
        <f aca="false">ROUND($C$10*$C$9,0)</f>
        <v>350</v>
      </c>
      <c r="H22" s="39" t="n">
        <f aca="false">ROUND($C$10*$C$9,0)</f>
        <v>350</v>
      </c>
      <c r="I22" s="39" t="n">
        <f aca="false">ROUND($C$10*$C$9,0)</f>
        <v>350</v>
      </c>
      <c r="J22" s="39" t="n">
        <f aca="false">ROUND($C$10*$C$9,0)</f>
        <v>350</v>
      </c>
      <c r="K22" s="39" t="n">
        <f aca="false">ROUND($C$10*$C$9,0)</f>
        <v>350</v>
      </c>
      <c r="L22" s="39" t="n">
        <f aca="false">ROUND($C$10*$C$9,0)</f>
        <v>350</v>
      </c>
      <c r="M22" s="39" t="n">
        <f aca="false">ROUND($C$10*$C$9,0)</f>
        <v>350</v>
      </c>
      <c r="N22" s="39" t="n">
        <f aca="false">ROUND($C$10*$C$9,0)</f>
        <v>350</v>
      </c>
      <c r="O22" s="39" t="n">
        <f aca="false">ROUND($C$10*$C$9,0)</f>
        <v>350</v>
      </c>
      <c r="P22" s="39" t="n">
        <f aca="false">ROUND($C$10*$C$9,0)</f>
        <v>350</v>
      </c>
      <c r="Q22" s="39" t="n">
        <f aca="false">ROUND($C$10*$C$9,0)</f>
        <v>350</v>
      </c>
      <c r="R22" s="39" t="n">
        <f aca="false">ROUND($C$10*$C$9,0)</f>
        <v>350</v>
      </c>
      <c r="S22" s="39" t="n">
        <f aca="false">ROUND($C$10*$C$9,0)</f>
        <v>350</v>
      </c>
      <c r="T22" s="39" t="n">
        <f aca="false">ROUND($C$10*$C$9,0)</f>
        <v>350</v>
      </c>
      <c r="U22" s="39" t="n">
        <f aca="false">ROUND($C$10*$C$9,0)</f>
        <v>350</v>
      </c>
      <c r="V22" s="39" t="n">
        <f aca="false">ROUND($C$10*$C$9,0)</f>
        <v>350</v>
      </c>
      <c r="W22" s="39" t="n">
        <f aca="false">ROUND($C$10*$C$9,0)</f>
        <v>350</v>
      </c>
      <c r="X22" s="39" t="n">
        <f aca="false">ROUND($C$10*$C$9,0)</f>
        <v>350</v>
      </c>
      <c r="Y22" s="39" t="n">
        <f aca="false">ROUND($C$10*$C$9,0)</f>
        <v>350</v>
      </c>
      <c r="Z22" s="39" t="n">
        <f aca="false">ROUND($C$10*$C$9,0)</f>
        <v>350</v>
      </c>
      <c r="AA22" s="40" t="n">
        <f aca="false">SUM(C22:Z22)</f>
        <v>8400</v>
      </c>
    </row>
    <row r="23" customFormat="false" ht="14.25" hidden="false" customHeight="false" outlineLevel="0" collapsed="false">
      <c r="B23" s="10" t="s">
        <v>121</v>
      </c>
      <c r="C23" s="39" t="n">
        <f aca="false">C22</f>
        <v>350</v>
      </c>
      <c r="D23" s="39" t="n">
        <f aca="false">C23*(1-$C$12)+D22</f>
        <v>672</v>
      </c>
      <c r="E23" s="39" t="n">
        <f aca="false">D23*(1-$C$12)+E22</f>
        <v>968.24</v>
      </c>
      <c r="F23" s="39" t="n">
        <f aca="false">E23*(1-$C$12)+F22</f>
        <v>1240.7808</v>
      </c>
      <c r="G23" s="39" t="n">
        <f aca="false">F23*(1-$C$12)+G22</f>
        <v>1491.518336</v>
      </c>
      <c r="H23" s="39" t="n">
        <f aca="false">G23*(1-$C$12)+H22</f>
        <v>1722.19686912</v>
      </c>
      <c r="I23" s="39" t="n">
        <f aca="false">H23*(1-$C$12)+I22</f>
        <v>1934.4211195904</v>
      </c>
      <c r="J23" s="39" t="n">
        <f aca="false">I23*(1-$C$12)+J22</f>
        <v>2129.66743002317</v>
      </c>
      <c r="K23" s="39" t="n">
        <f aca="false">J23*(1-$C$12)+K22</f>
        <v>2309.29403562132</v>
      </c>
      <c r="L23" s="39" t="n">
        <f aca="false">K23*(1-$C$12)+L22</f>
        <v>2474.55051277161</v>
      </c>
      <c r="M23" s="39" t="n">
        <f aca="false">L23*(1-$C$12)+M22</f>
        <v>2626.58647174988</v>
      </c>
      <c r="N23" s="39" t="n">
        <f aca="false">M23*(1-$C$12)+N22</f>
        <v>2766.45955400989</v>
      </c>
      <c r="O23" s="39" t="n">
        <f aca="false">N23*(1-$C$12)+O22</f>
        <v>2895.1427896891</v>
      </c>
      <c r="P23" s="39" t="n">
        <f aca="false">O23*(1-$C$12)+P22</f>
        <v>3013.53136651397</v>
      </c>
      <c r="Q23" s="39" t="n">
        <f aca="false">P23*(1-$C$12)+Q22</f>
        <v>3122.44885719285</v>
      </c>
      <c r="R23" s="39" t="n">
        <f aca="false">Q23*(1-$C$12)+R22</f>
        <v>3222.65294861743</v>
      </c>
      <c r="S23" s="39" t="n">
        <f aca="false">R23*(1-$C$12)+S22</f>
        <v>3314.84071272803</v>
      </c>
      <c r="T23" s="39" t="n">
        <f aca="false">S23*(1-$C$12)+T22</f>
        <v>3399.65345570979</v>
      </c>
      <c r="U23" s="39" t="n">
        <f aca="false">T23*(1-$C$12)+U22</f>
        <v>3477.68117925301</v>
      </c>
      <c r="V23" s="39" t="n">
        <f aca="false">U23*(1-$C$12)+V22</f>
        <v>3549.46668491277</v>
      </c>
      <c r="W23" s="39" t="n">
        <f aca="false">V23*(1-$C$12)+W22</f>
        <v>3615.50935011975</v>
      </c>
      <c r="X23" s="39" t="n">
        <f aca="false">W23*(1-$C$12)+X22</f>
        <v>3676.26860211017</v>
      </c>
      <c r="Y23" s="39" t="n">
        <f aca="false">X23*(1-$C$12)+Y22</f>
        <v>3732.16711394135</v>
      </c>
      <c r="Z23" s="39" t="n">
        <f aca="false">Y23*(1-$C$12)+Z22</f>
        <v>3783.59374482604</v>
      </c>
    </row>
    <row r="25" customFormat="false" ht="14.25" hidden="false" customHeight="false" outlineLevel="0" collapsed="false">
      <c r="B25" s="41" t="s">
        <v>122</v>
      </c>
      <c r="C25" s="42" t="n">
        <f aca="false">C23*$C$8</f>
        <v>48650000</v>
      </c>
      <c r="D25" s="42" t="n">
        <f aca="false">D23*$C$8</f>
        <v>93408000</v>
      </c>
      <c r="E25" s="42" t="n">
        <f aca="false">E23*$C$8</f>
        <v>134585360</v>
      </c>
      <c r="F25" s="42" t="n">
        <f aca="false">F23*$C$8</f>
        <v>172468531.2</v>
      </c>
      <c r="G25" s="42" t="n">
        <f aca="false">G23*$C$8</f>
        <v>207321048.704</v>
      </c>
      <c r="H25" s="42" t="n">
        <f aca="false">H23*$C$8</f>
        <v>239385364.80768</v>
      </c>
      <c r="I25" s="42" t="n">
        <f aca="false">I23*$C$8</f>
        <v>268884535.623066</v>
      </c>
      <c r="J25" s="42" t="n">
        <f aca="false">J23*$C$8</f>
        <v>296023772.77322</v>
      </c>
      <c r="K25" s="42" t="n">
        <f aca="false">K23*$C$8</f>
        <v>320991870.951363</v>
      </c>
      <c r="L25" s="42" t="n">
        <f aca="false">L23*$C$8</f>
        <v>343962521.275254</v>
      </c>
      <c r="M25" s="42" t="n">
        <f aca="false">M23*$C$8</f>
        <v>365095519.573234</v>
      </c>
      <c r="N25" s="42" t="n">
        <f aca="false">N23*$C$8</f>
        <v>384537878.007375</v>
      </c>
      <c r="O25" s="42" t="n">
        <f aca="false">O23*$C$8</f>
        <v>402424847.766785</v>
      </c>
      <c r="P25" s="42" t="n">
        <f aca="false">P23*$C$8</f>
        <v>418880859.945442</v>
      </c>
      <c r="Q25" s="42" t="n">
        <f aca="false">Q23*$C$8</f>
        <v>434020391.149807</v>
      </c>
      <c r="R25" s="42" t="n">
        <f aca="false">R23*$C$8</f>
        <v>447948759.857822</v>
      </c>
      <c r="S25" s="42" t="n">
        <f aca="false">S23*$C$8</f>
        <v>460762859.069196</v>
      </c>
      <c r="T25" s="42" t="n">
        <f aca="false">T23*$C$8</f>
        <v>472551830.343661</v>
      </c>
      <c r="U25" s="42" t="n">
        <f aca="false">U23*$C$8</f>
        <v>483397683.916168</v>
      </c>
      <c r="V25" s="42" t="n">
        <f aca="false">V23*$C$8</f>
        <v>493375869.202875</v>
      </c>
      <c r="W25" s="42" t="n">
        <f aca="false">W23*$C$8</f>
        <v>502555799.666645</v>
      </c>
      <c r="X25" s="42" t="n">
        <f aca="false">X23*$C$8</f>
        <v>511001335.693313</v>
      </c>
      <c r="Y25" s="42" t="n">
        <f aca="false">Y23*$C$8</f>
        <v>518771228.837848</v>
      </c>
      <c r="Z25" s="42" t="n">
        <f aca="false">Z23*$C$8</f>
        <v>525919530.53082</v>
      </c>
      <c r="AA25" s="43" t="n">
        <f aca="false">SUM(C25:Z25)</f>
        <v>8546925398.89557</v>
      </c>
    </row>
    <row r="26" customFormat="false" ht="14.25" hidden="false" customHeight="false" outlineLevel="0" collapsed="false">
      <c r="B26" s="10" t="s">
        <v>123</v>
      </c>
      <c r="C26" s="39" t="n">
        <f aca="false">C23*$C$11</f>
        <v>24500000</v>
      </c>
      <c r="D26" s="39" t="n">
        <f aca="false">D23*$C$11</f>
        <v>47040000</v>
      </c>
      <c r="E26" s="39" t="n">
        <f aca="false">E23*$C$11</f>
        <v>67776800</v>
      </c>
      <c r="F26" s="39" t="n">
        <f aca="false">F23*$C$11</f>
        <v>86854656</v>
      </c>
      <c r="G26" s="39" t="n">
        <f aca="false">G23*$C$11</f>
        <v>104406283.52</v>
      </c>
      <c r="H26" s="39" t="n">
        <f aca="false">H23*$C$11</f>
        <v>120553780.8384</v>
      </c>
      <c r="I26" s="39" t="n">
        <f aca="false">I23*$C$11</f>
        <v>135409478.371328</v>
      </c>
      <c r="J26" s="39" t="n">
        <f aca="false">J23*$C$11</f>
        <v>149076720.101622</v>
      </c>
      <c r="K26" s="39" t="n">
        <f aca="false">K23*$C$11</f>
        <v>161650582.493492</v>
      </c>
      <c r="L26" s="39" t="n">
        <f aca="false">L23*$C$11</f>
        <v>173218535.894013</v>
      </c>
      <c r="M26" s="39" t="n">
        <f aca="false">M23*$C$11</f>
        <v>183861053.022492</v>
      </c>
      <c r="N26" s="39" t="n">
        <f aca="false">N23*$C$11</f>
        <v>193652168.780692</v>
      </c>
      <c r="O26" s="39" t="n">
        <f aca="false">O23*$C$11</f>
        <v>202659995.278237</v>
      </c>
      <c r="P26" s="39" t="n">
        <f aca="false">P23*$C$11</f>
        <v>210947195.655978</v>
      </c>
      <c r="Q26" s="39" t="n">
        <f aca="false">Q23*$C$11</f>
        <v>218571420.0035</v>
      </c>
      <c r="R26" s="39" t="n">
        <f aca="false">R23*$C$11</f>
        <v>225585706.40322</v>
      </c>
      <c r="S26" s="39" t="n">
        <f aca="false">S23*$C$11</f>
        <v>232038849.890962</v>
      </c>
      <c r="T26" s="39" t="n">
        <f aca="false">T23*$C$11</f>
        <v>237975741.899685</v>
      </c>
      <c r="U26" s="39" t="n">
        <f aca="false">U23*$C$11</f>
        <v>243437682.54771</v>
      </c>
      <c r="V26" s="39" t="n">
        <f aca="false">V23*$C$11</f>
        <v>248462667.943894</v>
      </c>
      <c r="W26" s="39" t="n">
        <f aca="false">W23*$C$11</f>
        <v>253085654.508382</v>
      </c>
      <c r="X26" s="39" t="n">
        <f aca="false">X23*$C$11</f>
        <v>257338802.147712</v>
      </c>
      <c r="Y26" s="39" t="n">
        <f aca="false">Y23*$C$11</f>
        <v>261251697.975895</v>
      </c>
      <c r="Z26" s="39" t="n">
        <f aca="false">Z23*$C$11</f>
        <v>264851562.137823</v>
      </c>
      <c r="AA26" s="40" t="n">
        <f aca="false">SUM(C26:Z26)</f>
        <v>4304207035.41504</v>
      </c>
    </row>
    <row r="27" customFormat="false" ht="14.25" hidden="false" customHeight="false" outlineLevel="0" collapsed="false">
      <c r="B27" s="9" t="s">
        <v>124</v>
      </c>
      <c r="C27" s="44" t="n">
        <f aca="false">C25-C26</f>
        <v>24150000</v>
      </c>
      <c r="D27" s="44" t="n">
        <f aca="false">D25-D26</f>
        <v>46368000</v>
      </c>
      <c r="E27" s="44" t="n">
        <f aca="false">E25-E26</f>
        <v>66808560</v>
      </c>
      <c r="F27" s="44" t="n">
        <f aca="false">F25-F26</f>
        <v>85613875.2</v>
      </c>
      <c r="G27" s="44" t="n">
        <f aca="false">G25-G26</f>
        <v>102914765.184</v>
      </c>
      <c r="H27" s="44" t="n">
        <f aca="false">H25-H26</f>
        <v>118831583.96928</v>
      </c>
      <c r="I27" s="44" t="n">
        <f aca="false">I25-I26</f>
        <v>133475057.251738</v>
      </c>
      <c r="J27" s="44" t="n">
        <f aca="false">J25-J26</f>
        <v>146947052.671599</v>
      </c>
      <c r="K27" s="44" t="n">
        <f aca="false">K25-K26</f>
        <v>159341288.457871</v>
      </c>
      <c r="L27" s="44" t="n">
        <f aca="false">L25-L26</f>
        <v>170743985.381241</v>
      </c>
      <c r="M27" s="44" t="n">
        <f aca="false">M25-M26</f>
        <v>181234466.550742</v>
      </c>
      <c r="N27" s="44" t="n">
        <f aca="false">N25-N26</f>
        <v>190885709.226682</v>
      </c>
      <c r="O27" s="44" t="n">
        <f aca="false">O25-O26</f>
        <v>199764852.488548</v>
      </c>
      <c r="P27" s="44" t="n">
        <f aca="false">P25-P26</f>
        <v>207933664.289464</v>
      </c>
      <c r="Q27" s="44" t="n">
        <f aca="false">Q25-Q26</f>
        <v>215448971.146307</v>
      </c>
      <c r="R27" s="44" t="n">
        <f aca="false">R25-R26</f>
        <v>222363053.454602</v>
      </c>
      <c r="S27" s="44" t="n">
        <f aca="false">S25-S26</f>
        <v>228724009.178234</v>
      </c>
      <c r="T27" s="44" t="n">
        <f aca="false">T25-T26</f>
        <v>234576088.443975</v>
      </c>
      <c r="U27" s="44" t="n">
        <f aca="false">U25-U26</f>
        <v>239960001.368457</v>
      </c>
      <c r="V27" s="44" t="n">
        <f aca="false">V25-V26</f>
        <v>244913201.258981</v>
      </c>
      <c r="W27" s="44" t="n">
        <f aca="false">W25-W26</f>
        <v>249470145.158262</v>
      </c>
      <c r="X27" s="44" t="n">
        <f aca="false">X25-X26</f>
        <v>253662533.545601</v>
      </c>
      <c r="Y27" s="44" t="n">
        <f aca="false">Y25-Y26</f>
        <v>257519530.861953</v>
      </c>
      <c r="Z27" s="44" t="n">
        <f aca="false">Z25-Z26</f>
        <v>261067968.392997</v>
      </c>
      <c r="AA27" s="40" t="n">
        <f aca="false">SUM(C27:Z27)</f>
        <v>4242718363.48054</v>
      </c>
    </row>
    <row r="28" customFormat="false" ht="14.25" hidden="false" customHeight="false" outlineLevel="0" collapsed="false">
      <c r="B28" s="10" t="s">
        <v>125</v>
      </c>
      <c r="C28" s="39" t="n">
        <f aca="false">C22*$C$13</f>
        <v>77000000</v>
      </c>
      <c r="D28" s="39" t="n">
        <f aca="false">D22*$C$13</f>
        <v>77000000</v>
      </c>
      <c r="E28" s="39" t="n">
        <f aca="false">E22*$C$13</f>
        <v>77000000</v>
      </c>
      <c r="F28" s="39" t="n">
        <f aca="false">F22*$C$13</f>
        <v>77000000</v>
      </c>
      <c r="G28" s="39" t="n">
        <f aca="false">G22*$C$13</f>
        <v>77000000</v>
      </c>
      <c r="H28" s="39" t="n">
        <f aca="false">H22*$C$13</f>
        <v>77000000</v>
      </c>
      <c r="I28" s="39" t="n">
        <f aca="false">I22*$C$13</f>
        <v>77000000</v>
      </c>
      <c r="J28" s="39" t="n">
        <f aca="false">J22*$C$13</f>
        <v>77000000</v>
      </c>
      <c r="K28" s="39" t="n">
        <f aca="false">K22*$C$13</f>
        <v>77000000</v>
      </c>
      <c r="L28" s="39" t="n">
        <f aca="false">L22*$C$13</f>
        <v>77000000</v>
      </c>
      <c r="M28" s="39" t="n">
        <f aca="false">M22*$C$13</f>
        <v>77000000</v>
      </c>
      <c r="N28" s="39" t="n">
        <f aca="false">N22*$C$13</f>
        <v>77000000</v>
      </c>
      <c r="O28" s="39" t="n">
        <f aca="false">O22*$C$13</f>
        <v>77000000</v>
      </c>
      <c r="P28" s="39" t="n">
        <f aca="false">P22*$C$13</f>
        <v>77000000</v>
      </c>
      <c r="Q28" s="39" t="n">
        <f aca="false">Q22*$C$13</f>
        <v>77000000</v>
      </c>
      <c r="R28" s="39" t="n">
        <f aca="false">R22*$C$13</f>
        <v>77000000</v>
      </c>
      <c r="S28" s="39" t="n">
        <f aca="false">S22*$C$13</f>
        <v>77000000</v>
      </c>
      <c r="T28" s="39" t="n">
        <f aca="false">T22*$C$13</f>
        <v>77000000</v>
      </c>
      <c r="U28" s="39" t="n">
        <f aca="false">U22*$C$13</f>
        <v>77000000</v>
      </c>
      <c r="V28" s="39" t="n">
        <f aca="false">V22*$C$13</f>
        <v>77000000</v>
      </c>
      <c r="W28" s="39" t="n">
        <f aca="false">W22*$C$13</f>
        <v>77000000</v>
      </c>
      <c r="X28" s="39" t="n">
        <f aca="false">X22*$C$13</f>
        <v>77000000</v>
      </c>
      <c r="Y28" s="39" t="n">
        <f aca="false">Y22*$C$13</f>
        <v>77000000</v>
      </c>
      <c r="Z28" s="39" t="n">
        <f aca="false">Z22*$C$13</f>
        <v>77000000</v>
      </c>
      <c r="AA28" s="40" t="n">
        <f aca="false">SUM(C28:Z28)</f>
        <v>1848000000</v>
      </c>
    </row>
    <row r="29" customFormat="false" ht="14.25" hidden="false" customHeight="false" outlineLevel="0" collapsed="false">
      <c r="B29" s="10" t="s">
        <v>126</v>
      </c>
      <c r="C29" s="39" t="n">
        <f aca="false">$C$14</f>
        <v>71000000</v>
      </c>
      <c r="D29" s="39" t="n">
        <f aca="false">$C$14</f>
        <v>71000000</v>
      </c>
      <c r="E29" s="39" t="n">
        <f aca="false">$C$14</f>
        <v>71000000</v>
      </c>
      <c r="F29" s="39" t="n">
        <f aca="false">$C$14</f>
        <v>71000000</v>
      </c>
      <c r="G29" s="39" t="n">
        <f aca="false">$C$14</f>
        <v>71000000</v>
      </c>
      <c r="H29" s="39" t="n">
        <f aca="false">$C$14</f>
        <v>71000000</v>
      </c>
      <c r="I29" s="39" t="n">
        <f aca="false">$C$14</f>
        <v>71000000</v>
      </c>
      <c r="J29" s="39" t="n">
        <f aca="false">$C$14</f>
        <v>71000000</v>
      </c>
      <c r="K29" s="39" t="n">
        <f aca="false">$C$14</f>
        <v>71000000</v>
      </c>
      <c r="L29" s="39" t="n">
        <f aca="false">$C$14</f>
        <v>71000000</v>
      </c>
      <c r="M29" s="39" t="n">
        <f aca="false">$C$14</f>
        <v>71000000</v>
      </c>
      <c r="N29" s="39" t="n">
        <f aca="false">$C$14</f>
        <v>71000000</v>
      </c>
      <c r="O29" s="39" t="n">
        <f aca="false">$C$14</f>
        <v>71000000</v>
      </c>
      <c r="P29" s="39" t="n">
        <f aca="false">$C$14</f>
        <v>71000000</v>
      </c>
      <c r="Q29" s="39" t="n">
        <f aca="false">$C$14</f>
        <v>71000000</v>
      </c>
      <c r="R29" s="39" t="n">
        <f aca="false">$C$14</f>
        <v>71000000</v>
      </c>
      <c r="S29" s="39" t="n">
        <f aca="false">$C$14</f>
        <v>71000000</v>
      </c>
      <c r="T29" s="39" t="n">
        <f aca="false">$C$14</f>
        <v>71000000</v>
      </c>
      <c r="U29" s="39" t="n">
        <f aca="false">$C$14</f>
        <v>71000000</v>
      </c>
      <c r="V29" s="39" t="n">
        <f aca="false">$C$14</f>
        <v>71000000</v>
      </c>
      <c r="W29" s="39" t="n">
        <f aca="false">$C$14</f>
        <v>71000000</v>
      </c>
      <c r="X29" s="39" t="n">
        <f aca="false">$C$14</f>
        <v>71000000</v>
      </c>
      <c r="Y29" s="39" t="n">
        <f aca="false">$C$14</f>
        <v>71000000</v>
      </c>
      <c r="Z29" s="39" t="n">
        <f aca="false">$C$14</f>
        <v>71000000</v>
      </c>
      <c r="AA29" s="40" t="n">
        <f aca="false">SUM(C29:Z29)</f>
        <v>1704000000</v>
      </c>
    </row>
    <row r="30" customFormat="false" ht="14.25" hidden="false" customHeight="false" outlineLevel="0" collapsed="false">
      <c r="B30" s="19" t="s">
        <v>127</v>
      </c>
      <c r="C30" s="45" t="n">
        <f aca="false">C27-C28-C29</f>
        <v>-123850000</v>
      </c>
      <c r="D30" s="45" t="n">
        <f aca="false">D27-D28-D29</f>
        <v>-101632000</v>
      </c>
      <c r="E30" s="45" t="n">
        <f aca="false">E27-E28-E29</f>
        <v>-81191440</v>
      </c>
      <c r="F30" s="45" t="n">
        <f aca="false">F27-F28-F29</f>
        <v>-62386124.8</v>
      </c>
      <c r="G30" s="45" t="n">
        <f aca="false">G27-G28-G29</f>
        <v>-45085234.816</v>
      </c>
      <c r="H30" s="45" t="n">
        <f aca="false">H27-H28-H29</f>
        <v>-29168416.03072</v>
      </c>
      <c r="I30" s="45" t="n">
        <f aca="false">I27-I28-I29</f>
        <v>-14524942.7482624</v>
      </c>
      <c r="J30" s="45" t="n">
        <f aca="false">J27-J28-J29</f>
        <v>-1052947.32840139</v>
      </c>
      <c r="K30" s="45" t="n">
        <f aca="false">K27-K28-K29</f>
        <v>11341288.4578708</v>
      </c>
      <c r="L30" s="45" t="n">
        <f aca="false">L27-L28-L29</f>
        <v>22743985.381241</v>
      </c>
      <c r="M30" s="45" t="n">
        <f aca="false">M27-M28-M29</f>
        <v>33234466.5507418</v>
      </c>
      <c r="N30" s="45" t="n">
        <f aca="false">N27-N28-N29</f>
        <v>42885709.2266825</v>
      </c>
      <c r="O30" s="45" t="n">
        <f aca="false">O27-O28-O29</f>
        <v>51764852.4885479</v>
      </c>
      <c r="P30" s="45" t="n">
        <f aca="false">P27-P28-P29</f>
        <v>59933664.289464</v>
      </c>
      <c r="Q30" s="45" t="n">
        <f aca="false">Q27-Q28-Q29</f>
        <v>67448971.146307</v>
      </c>
      <c r="R30" s="45" t="n">
        <f aca="false">R27-R28-R29</f>
        <v>74363053.4546024</v>
      </c>
      <c r="S30" s="45" t="n">
        <f aca="false">S27-S28-S29</f>
        <v>80724009.1782342</v>
      </c>
      <c r="T30" s="45" t="n">
        <f aca="false">T27-T28-T29</f>
        <v>86576088.4439755</v>
      </c>
      <c r="U30" s="45" t="n">
        <f aca="false">U27-U28-U29</f>
        <v>91960001.3684575</v>
      </c>
      <c r="V30" s="45" t="n">
        <f aca="false">V27-V28-V29</f>
        <v>96913201.2589808</v>
      </c>
      <c r="W30" s="45" t="n">
        <f aca="false">W27-W28-W29</f>
        <v>101470145.158262</v>
      </c>
      <c r="X30" s="45" t="n">
        <f aca="false">X27-X28-X29</f>
        <v>105662533.545601</v>
      </c>
      <c r="Y30" s="45" t="n">
        <f aca="false">Y27-Y28-Y29</f>
        <v>109519530.861953</v>
      </c>
      <c r="Z30" s="45" t="n">
        <f aca="false">Z27-Z28-Z29</f>
        <v>113067968.392997</v>
      </c>
      <c r="AA30" s="46" t="n">
        <f aca="false">SUM(C30:Z30)</f>
        <v>690718363.480536</v>
      </c>
    </row>
    <row r="32" customFormat="false" ht="14.25" hidden="false" customHeight="false" outlineLevel="0" collapsed="false">
      <c r="B32" s="10" t="s">
        <v>128</v>
      </c>
      <c r="C32" s="39" t="n">
        <f aca="false">C30-$C$15</f>
        <v>-153850000</v>
      </c>
      <c r="D32" s="39" t="n">
        <f aca="false">D30</f>
        <v>-101632000</v>
      </c>
      <c r="E32" s="39" t="n">
        <f aca="false">E30</f>
        <v>-81191440</v>
      </c>
      <c r="F32" s="39" t="n">
        <f aca="false">F30</f>
        <v>-62386124.8</v>
      </c>
      <c r="G32" s="39" t="n">
        <f aca="false">G30</f>
        <v>-45085234.816</v>
      </c>
      <c r="H32" s="39" t="n">
        <f aca="false">H30</f>
        <v>-29168416.03072</v>
      </c>
      <c r="I32" s="39" t="n">
        <f aca="false">I30</f>
        <v>-14524942.7482624</v>
      </c>
      <c r="J32" s="39" t="n">
        <f aca="false">J30</f>
        <v>-1052947.32840139</v>
      </c>
      <c r="K32" s="39" t="n">
        <f aca="false">K30</f>
        <v>11341288.4578708</v>
      </c>
      <c r="L32" s="39" t="n">
        <f aca="false">L30</f>
        <v>22743985.381241</v>
      </c>
      <c r="M32" s="39" t="n">
        <f aca="false">M30</f>
        <v>33234466.5507418</v>
      </c>
      <c r="N32" s="39" t="n">
        <f aca="false">N30</f>
        <v>42885709.2266825</v>
      </c>
      <c r="O32" s="39" t="n">
        <f aca="false">O30</f>
        <v>51764852.4885479</v>
      </c>
      <c r="P32" s="39" t="n">
        <f aca="false">P30</f>
        <v>59933664.289464</v>
      </c>
      <c r="Q32" s="39" t="n">
        <f aca="false">Q30</f>
        <v>67448971.146307</v>
      </c>
      <c r="R32" s="39" t="n">
        <f aca="false">R30</f>
        <v>74363053.4546024</v>
      </c>
      <c r="S32" s="39" t="n">
        <f aca="false">S30</f>
        <v>80724009.1782342</v>
      </c>
      <c r="T32" s="39" t="n">
        <f aca="false">T30</f>
        <v>86576088.4439755</v>
      </c>
      <c r="U32" s="39" t="n">
        <f aca="false">U30</f>
        <v>91960001.3684575</v>
      </c>
      <c r="V32" s="39" t="n">
        <f aca="false">V30</f>
        <v>96913201.2589808</v>
      </c>
      <c r="W32" s="39" t="n">
        <f aca="false">W30</f>
        <v>101470145.158262</v>
      </c>
      <c r="X32" s="39" t="n">
        <f aca="false">X30</f>
        <v>105662533.545601</v>
      </c>
      <c r="Y32" s="39" t="n">
        <f aca="false">Y30</f>
        <v>109519530.861953</v>
      </c>
      <c r="Z32" s="39" t="n">
        <f aca="false">Z30</f>
        <v>113067968.392997</v>
      </c>
      <c r="AA32" s="40" t="n">
        <f aca="false">SUM(C32:Z32)</f>
        <v>660718363.480536</v>
      </c>
    </row>
    <row r="33" customFormat="false" ht="14.25" hidden="false" customHeight="false" outlineLevel="0" collapsed="false">
      <c r="B33" s="47" t="s">
        <v>129</v>
      </c>
      <c r="C33" s="48" t="n">
        <f aca="false">$C$16+C32</f>
        <v>296150000</v>
      </c>
      <c r="D33" s="48" t="n">
        <f aca="false">C33+D32</f>
        <v>194518000</v>
      </c>
      <c r="E33" s="48" t="n">
        <f aca="false">D33+E32</f>
        <v>113326560</v>
      </c>
      <c r="F33" s="48" t="n">
        <f aca="false">E33+F32</f>
        <v>50940435.2</v>
      </c>
      <c r="G33" s="48" t="n">
        <f aca="false">F33+G32</f>
        <v>5855200.384</v>
      </c>
      <c r="H33" s="48" t="n">
        <f aca="false">G33+H32</f>
        <v>-23313215.64672</v>
      </c>
      <c r="I33" s="48" t="n">
        <f aca="false">H33+I32</f>
        <v>-37838158.3949824</v>
      </c>
      <c r="J33" s="48" t="n">
        <f aca="false">I33+J32</f>
        <v>-38891105.7233837</v>
      </c>
      <c r="K33" s="48" t="n">
        <f aca="false">J33+K32</f>
        <v>-27549817.265513</v>
      </c>
      <c r="L33" s="48" t="n">
        <f aca="false">K33+L32</f>
        <v>-4805831.88427196</v>
      </c>
      <c r="M33" s="48" t="n">
        <f aca="false">L33+M32</f>
        <v>28428634.6664698</v>
      </c>
      <c r="N33" s="48" t="n">
        <f aca="false">M33+N32</f>
        <v>71314343.8931523</v>
      </c>
      <c r="O33" s="48" t="n">
        <f aca="false">N33+O32</f>
        <v>123079196.3817</v>
      </c>
      <c r="P33" s="48" t="n">
        <f aca="false">O33+P32</f>
        <v>183012860.671164</v>
      </c>
      <c r="Q33" s="48" t="n">
        <f aca="false">P33+Q32</f>
        <v>250461831.817471</v>
      </c>
      <c r="R33" s="48" t="n">
        <f aca="false">Q33+R32</f>
        <v>324824885.272074</v>
      </c>
      <c r="S33" s="48" t="n">
        <f aca="false">R33+S32</f>
        <v>405548894.450308</v>
      </c>
      <c r="T33" s="48" t="n">
        <f aca="false">S33+T32</f>
        <v>492124982.894283</v>
      </c>
      <c r="U33" s="48" t="n">
        <f aca="false">T33+U32</f>
        <v>584084984.262741</v>
      </c>
      <c r="V33" s="48" t="n">
        <f aca="false">U33+V32</f>
        <v>680998185.521722</v>
      </c>
      <c r="W33" s="48" t="n">
        <f aca="false">V33+W32</f>
        <v>782468330.679984</v>
      </c>
      <c r="X33" s="48" t="n">
        <f aca="false">W33+X32</f>
        <v>888130864.225585</v>
      </c>
      <c r="Y33" s="48" t="n">
        <f aca="false">X33+Y32</f>
        <v>997650395.087539</v>
      </c>
      <c r="Z33" s="48" t="n">
        <f aca="false">Y33+Z32</f>
        <v>1110718363.48054</v>
      </c>
    </row>
    <row r="36" customFormat="false" ht="14.25" hidden="false" customHeight="false" outlineLevel="0" collapsed="false">
      <c r="B36" s="4" t="s">
        <v>130</v>
      </c>
      <c r="C36" s="4"/>
      <c r="D36" s="4"/>
      <c r="E36" s="4"/>
      <c r="F36" s="4"/>
      <c r="G36" s="4"/>
      <c r="H36" s="4"/>
      <c r="I36" s="4"/>
      <c r="J36" s="4"/>
    </row>
    <row r="37" customFormat="false" ht="14.25" hidden="false" customHeight="false" outlineLevel="0" collapsed="false">
      <c r="B37" s="9" t="s">
        <v>131</v>
      </c>
      <c r="C37" s="49" t="n">
        <f aca="false">(NPV($C$17,D32:Z32)+C32)/1000000</f>
        <v>407.33707313561</v>
      </c>
      <c r="D37" s="31" t="str">
        <f aca="false">"(target: &gt; 0)"</f>
        <v>(target: &gt; 0)</v>
      </c>
    </row>
    <row r="38" customFormat="false" ht="14.25" hidden="false" customHeight="false" outlineLevel="0" collapsed="false">
      <c r="B38" s="9" t="s">
        <v>132</v>
      </c>
      <c r="C38" s="50" t="n">
        <f aca="false">IFERROR((1+IRR(C32:Z32))^12-1,0)</f>
        <v>0.955203584690581</v>
      </c>
      <c r="D38" s="31" t="str">
        <f aca="false">"(target: &gt; "&amp;TEXT(CHOOSE($C$6,'1. Assumptions'!C35,'1. Assumptions'!D35,'1. Assumptions'!E35),"0.0%")&amp;")"</f>
        <v>(target: &gt; 20.0%)</v>
      </c>
    </row>
    <row r="39" customFormat="false" ht="14.25" hidden="false" customHeight="false" outlineLevel="0" collapsed="false">
      <c r="B39" s="9" t="s">
        <v>133</v>
      </c>
      <c r="C39" s="51" t="n">
        <f aca="false">IFERROR(MATCH(TRUE(),INDEX(C41:Z41&gt;=0,0),0),"&gt; 24")</f>
        <v>18</v>
      </c>
      <c r="D39" s="31" t="str">
        <f aca="false">"(target: &lt; 24)"</f>
        <v>(target: &lt; 24)</v>
      </c>
    </row>
    <row r="40" customFormat="false" ht="14.25" hidden="false" customHeight="false" outlineLevel="0" collapsed="false">
      <c r="B40" s="9" t="s">
        <v>134</v>
      </c>
      <c r="C40" s="51" t="n">
        <f aca="false">IFERROR(MATCH(TRUE(),INDEX(C33:Z33&lt;0,0),0)-1,"&gt;= 24")</f>
        <v>5</v>
      </c>
      <c r="D40" s="31" t="str">
        <f aca="false">"(target: &gt;= 12)"</f>
        <v>(target: &gt;= 12)</v>
      </c>
    </row>
    <row r="41" customFormat="false" ht="14.25" hidden="false" customHeight="false" outlineLevel="0" collapsed="false">
      <c r="B41" s="52" t="s">
        <v>135</v>
      </c>
      <c r="C41" s="53" t="n">
        <f aca="false">C32</f>
        <v>-153850000</v>
      </c>
      <c r="D41" s="53" t="n">
        <f aca="false">C41+D32</f>
        <v>-255482000</v>
      </c>
      <c r="E41" s="53" t="n">
        <f aca="false">D41+E32</f>
        <v>-336673440</v>
      </c>
      <c r="F41" s="53" t="n">
        <f aca="false">E41+F32</f>
        <v>-399059564.8</v>
      </c>
      <c r="G41" s="53" t="n">
        <f aca="false">F41+G32</f>
        <v>-444144799.616</v>
      </c>
      <c r="H41" s="53" t="n">
        <f aca="false">G41+H32</f>
        <v>-473313215.64672</v>
      </c>
      <c r="I41" s="53" t="n">
        <f aca="false">H41+I32</f>
        <v>-487838158.394982</v>
      </c>
      <c r="J41" s="53" t="n">
        <f aca="false">I41+J32</f>
        <v>-488891105.723384</v>
      </c>
      <c r="K41" s="53" t="n">
        <f aca="false">J41+K32</f>
        <v>-477549817.265513</v>
      </c>
      <c r="L41" s="53" t="n">
        <f aca="false">K41+L32</f>
        <v>-454805831.884272</v>
      </c>
      <c r="M41" s="53" t="n">
        <f aca="false">L41+M32</f>
        <v>-421571365.33353</v>
      </c>
      <c r="N41" s="53" t="n">
        <f aca="false">M41+N32</f>
        <v>-378685656.106848</v>
      </c>
      <c r="O41" s="53" t="n">
        <f aca="false">N41+O32</f>
        <v>-326920803.6183</v>
      </c>
      <c r="P41" s="53" t="n">
        <f aca="false">O41+P32</f>
        <v>-266987139.328836</v>
      </c>
      <c r="Q41" s="53" t="n">
        <f aca="false">P41+Q32</f>
        <v>-199538168.182529</v>
      </c>
      <c r="R41" s="53" t="n">
        <f aca="false">Q41+R32</f>
        <v>-125175114.727926</v>
      </c>
      <c r="S41" s="53" t="n">
        <f aca="false">R41+S32</f>
        <v>-44451105.5496922</v>
      </c>
      <c r="T41" s="53" t="n">
        <f aca="false">S41+T32</f>
        <v>42124982.8942833</v>
      </c>
      <c r="U41" s="53" t="n">
        <f aca="false">T41+U32</f>
        <v>134084984.262741</v>
      </c>
      <c r="V41" s="53" t="n">
        <f aca="false">U41+V32</f>
        <v>230998185.521722</v>
      </c>
      <c r="W41" s="53" t="n">
        <f aca="false">V41+W32</f>
        <v>332468330.679984</v>
      </c>
      <c r="X41" s="53" t="n">
        <f aca="false">W41+X32</f>
        <v>438130864.225585</v>
      </c>
      <c r="Y41" s="53" t="n">
        <f aca="false">X41+Y32</f>
        <v>547650395.087539</v>
      </c>
      <c r="Z41" s="53" t="n">
        <f aca="false">Y41+Z32</f>
        <v>660718363.480536</v>
      </c>
    </row>
    <row r="43" customFormat="false" ht="14.25" hidden="false" customHeight="false" outlineLevel="0" collapsed="false">
      <c r="B43" s="4" t="s">
        <v>136</v>
      </c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B44" s="9" t="s">
        <v>137</v>
      </c>
      <c r="C44" s="54" t="str">
        <f aca="false"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  <c r="D44" s="54"/>
      <c r="E44" s="54"/>
      <c r="F44" s="54"/>
      <c r="G44" s="54"/>
      <c r="H44" s="54"/>
      <c r="I44" s="54"/>
      <c r="J44" s="54"/>
    </row>
  </sheetData>
  <mergeCells count="6">
    <mergeCell ref="B2:H2"/>
    <mergeCell ref="D4:H4"/>
    <mergeCell ref="B20:AA20"/>
    <mergeCell ref="B36:J36"/>
    <mergeCell ref="B43:J43"/>
    <mergeCell ref="C44:J44"/>
  </mergeCells>
  <conditionalFormatting sqref="C33:Z33">
    <cfRule type="cellIs" priority="2" operator="lessThan" aboveAverage="0" equalAverage="0" bottom="0" percent="0" rank="0" text="" dxfId="6">
      <formula>0</formula>
    </cfRule>
  </conditionalFormatting>
  <conditionalFormatting sqref="C37">
    <cfRule type="cellIs" priority="3" operator="greaterThan" aboveAverage="0" equalAverage="0" bottom="0" percent="0" rank="0" text="" dxfId="7">
      <formula>0</formula>
    </cfRule>
    <cfRule type="cellIs" priority="4" operator="lessThanOrEqual" aboveAverage="0" equalAverage="0" bottom="0" percent="0" rank="0" text="" dxfId="8">
      <formula>0</formula>
    </cfRule>
  </conditionalFormatting>
  <conditionalFormatting sqref="C40">
    <cfRule type="expression" priority="5" aboveAverage="0" equalAverage="0" bottom="0" percent="0" rank="0" text="" dxfId="9">
      <formula>AND(ISNUMBER(C40),C40&lt;12)</formula>
    </cfRule>
  </conditionalFormatting>
  <dataValidations count="1">
    <dataValidation allowBlank="false" errorStyle="stop" operator="between" showDropDown="false" showErrorMessage="false" showInputMessage="false" sqref="C4" type="list">
      <formula1>"Optimistic,Base,Pessimistic"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6EA725EA-6E66-451E-92E0-7CFA8835B0B7}">
            <xm:f>C38&gt;CHOOSE($C$6,'1. Assumptions'!C35,'1. Assumptions'!D35,'1. Assumptions'!E35)</xm:f>
            <x14:dxf>
              <font>
                <name val="Arial"/>
                <charset val="1"/>
                <family val="0"/>
                <b val="1"/>
                <color rgb="FF16A34A"/>
                <sz val="11"/>
              </font>
              <fill>
                <patternFill>
                  <bgColor rgb="FFDCFCE7"/>
                </patternFill>
              </fill>
            </x14:dxf>
          </x14:cfRule>
          <x14:cfRule type="expression" priority="7" id="{95ABCFED-3CD2-41AE-A0D0-E74FE4F07EDB}">
            <xm:f>C38&lt;=CHOOSE($C$6,'1. Assumptions'!C35,'1. Assumptions'!D35,'1. Assumptions'!E35)</xm:f>
            <x14:dxf>
              <font>
                <name val="Arial"/>
                <charset val="1"/>
                <family val="0"/>
                <b val="1"/>
                <color rgb="FFDC2626"/>
                <sz val="11"/>
              </font>
              <fill>
                <patternFill>
                  <bgColor rgb="FFFEE2E2"/>
                </patternFill>
              </fill>
            </x14:dxf>
          </x14:cfRule>
          <xm:sqref>C38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2026-05-03T14:07:25Z</dcterms:created>
  <dc:creator>openpyxl</dc:creator>
  <dc:description/>
  <dc:language>en-US</dc:language>
  <cp:lastModifiedBy/>
  <dcterms:modified xsi:type="dcterms:W3CDTF">2026-05-13T11:28:08Z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